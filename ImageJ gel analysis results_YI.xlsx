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hanvisingh/Downloads/"/>
    </mc:Choice>
  </mc:AlternateContent>
  <xr:revisionPtr revIDLastSave="0" documentId="8_{03C592E3-4253-AD4D-AD44-86F3B17BDBBF}" xr6:coauthVersionLast="47" xr6:coauthVersionMax="47" xr10:uidLastSave="{00000000-0000-0000-0000-000000000000}"/>
  <bookViews>
    <workbookView xWindow="17160" yWindow="940" windowWidth="16880" windowHeight="19360" xr2:uid="{894A101D-5A18-4339-9A8B-9BDEF358C34E}"/>
  </bookViews>
  <sheets>
    <sheet name="sheet 1" sheetId="1" r:id="rId1"/>
    <sheet name="6 × 10⁴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11" i="1"/>
  <c r="G12" i="1"/>
  <c r="G13" i="1"/>
  <c r="G14" i="1"/>
  <c r="G15" i="1"/>
  <c r="G16" i="1"/>
  <c r="G17" i="1"/>
  <c r="G18" i="1"/>
  <c r="G19" i="1"/>
  <c r="G20" i="1"/>
  <c r="G21" i="1"/>
  <c r="G22" i="1"/>
  <c r="G4" i="1"/>
  <c r="F11" i="1"/>
  <c r="F12" i="1"/>
  <c r="F13" i="1"/>
  <c r="F14" i="1"/>
  <c r="F15" i="1"/>
  <c r="F16" i="1"/>
  <c r="F17" i="1"/>
  <c r="F18" i="1"/>
  <c r="F19" i="1"/>
  <c r="F20" i="1"/>
  <c r="F21" i="1"/>
  <c r="F22" i="1"/>
  <c r="F5" i="1"/>
  <c r="F6" i="1"/>
  <c r="F7" i="1"/>
  <c r="F8" i="1"/>
  <c r="F4" i="1"/>
  <c r="E12" i="1"/>
  <c r="E13" i="1"/>
  <c r="E14" i="1"/>
  <c r="E15" i="1"/>
  <c r="E16" i="1"/>
  <c r="E17" i="1"/>
  <c r="E18" i="1"/>
  <c r="E19" i="1"/>
  <c r="E20" i="1"/>
  <c r="E21" i="1"/>
  <c r="E22" i="1"/>
  <c r="E11" i="1"/>
  <c r="E5" i="1"/>
  <c r="E6" i="1"/>
  <c r="E7" i="1"/>
  <c r="E8" i="1"/>
  <c r="E4" i="1"/>
  <c r="I11" i="1"/>
  <c r="I12" i="1"/>
  <c r="I13" i="1"/>
  <c r="I14" i="1"/>
  <c r="I15" i="1"/>
  <c r="I16" i="1"/>
  <c r="I17" i="1"/>
  <c r="I18" i="1"/>
  <c r="I19" i="1"/>
  <c r="I20" i="1"/>
  <c r="I21" i="1"/>
  <c r="I22" i="1"/>
  <c r="J16" i="2"/>
  <c r="J14" i="2"/>
  <c r="J13" i="2"/>
  <c r="J12" i="2"/>
  <c r="J11" i="2"/>
  <c r="J4" i="2"/>
  <c r="I8" i="1"/>
  <c r="I7" i="1"/>
  <c r="I6" i="1"/>
  <c r="I5" i="1"/>
  <c r="I4" i="1"/>
</calcChain>
</file>

<file path=xl/sharedStrings.xml><?xml version="1.0" encoding="utf-8"?>
<sst xmlns="http://schemas.openxmlformats.org/spreadsheetml/2006/main" count="114" uniqueCount="32">
  <si>
    <t xml:space="preserve">S.No. </t>
  </si>
  <si>
    <t>Area</t>
  </si>
  <si>
    <t xml:space="preserve">Gel Image </t>
  </si>
  <si>
    <t>S. Name</t>
    <phoneticPr fontId="19"/>
  </si>
  <si>
    <t>M (200bp)</t>
  </si>
  <si>
    <t>Normalization</t>
  </si>
  <si>
    <t>No peak detected</t>
  </si>
  <si>
    <t>NA</t>
  </si>
  <si>
    <t>ccaggtaaattagtaccagg</t>
  </si>
  <si>
    <t>Target gene</t>
  </si>
  <si>
    <t>ureB</t>
  </si>
  <si>
    <t>Initial copy number of DNA</t>
  </si>
  <si>
    <t>cctgatggaatatcgaaacg</t>
  </si>
  <si>
    <t>Forward Primer Sequence            (5'→ 3')</t>
  </si>
  <si>
    <t>Reverse Primer Sequence            (5'→ 3')</t>
  </si>
  <si>
    <t>Reverse Primer Sequence                   (5'→ 3')</t>
  </si>
  <si>
    <r>
      <t>6 × 10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</t>
    </r>
  </si>
  <si>
    <t>Species</t>
  </si>
  <si>
    <r>
      <t>Ureaplasma parvum</t>
    </r>
    <r>
      <rPr>
        <sz val="12"/>
        <color theme="1"/>
        <rFont val="Times New Roman"/>
        <family val="1"/>
      </rPr>
      <t xml:space="preserve"> serovar 3</t>
    </r>
  </si>
  <si>
    <r>
      <t>Ureaplasma parvum</t>
    </r>
    <r>
      <rPr>
        <sz val="12"/>
        <color theme="1"/>
        <rFont val="Times New Roman"/>
        <family val="1"/>
      </rPr>
      <t xml:space="preserve"> serovar 3</t>
    </r>
    <r>
      <rPr>
        <sz val="11"/>
        <color theme="1"/>
        <rFont val="Calibri"/>
        <family val="2"/>
        <scheme val="minor"/>
      </rPr>
      <t/>
    </r>
  </si>
  <si>
    <t>Run Time (minutes)</t>
  </si>
  <si>
    <r>
      <t>Ureaplasma parvum</t>
    </r>
    <r>
      <rPr>
        <sz val="12"/>
        <rFont val="Times New Roman"/>
        <family val="1"/>
      </rPr>
      <t xml:space="preserve"> serovar 3</t>
    </r>
  </si>
  <si>
    <t>ccaggtaaattagtaccaggggcaattaatttcgc</t>
  </si>
  <si>
    <t>cctgatggaatatcgaaacgtcgtccataagcaac</t>
  </si>
  <si>
    <t>cctgatggaatatcgaaacgtcgtccataa</t>
  </si>
  <si>
    <t>ccaggtaaattagtaccaggggcaa</t>
  </si>
  <si>
    <t>ccaggtaaattagtaccaggggcaattaat</t>
  </si>
  <si>
    <t xml:space="preserve">   cctgatggaatatcgaaacgtcgtc</t>
  </si>
  <si>
    <t>NA: Not Applicable</t>
  </si>
  <si>
    <t>Log value of initial copy number of dna</t>
  </si>
  <si>
    <t>forward length</t>
  </si>
  <si>
    <t>reverse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</si>
</sst>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6"/>
      <name val="Calibri"/>
      <family val="3"/>
      <charset val="128"/>
      <scheme val="minor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8" fillId="0" borderId="14" xfId="0" applyFont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vertical="center"/>
    </xf>
    <xf numFmtId="0" fontId="23" fillId="34" borderId="12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14" xfId="0" applyFont="1" applyFill="1" applyBorder="1" applyAlignment="1">
      <alignment vertical="center"/>
    </xf>
    <xf numFmtId="0" fontId="23" fillId="34" borderId="0" xfId="0" applyFont="1" applyFill="1" applyAlignment="1">
      <alignment vertical="center"/>
    </xf>
    <xf numFmtId="0" fontId="23" fillId="34" borderId="15" xfId="0" applyFont="1" applyFill="1" applyBorder="1" applyAlignment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164" fontId="23" fillId="33" borderId="10" xfId="0" applyNumberFormat="1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23" fillId="34" borderId="20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6" fillId="33" borderId="0" xfId="0" applyFont="1" applyFill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3" fillId="34" borderId="19" xfId="0" applyFont="1" applyFill="1" applyBorder="1" applyAlignment="1">
      <alignment horizontal="center" vertical="center"/>
    </xf>
    <xf numFmtId="0" fontId="23" fillId="34" borderId="20" xfId="0" applyFont="1" applyFill="1" applyBorder="1" applyAlignment="1">
      <alignment horizontal="center" vertical="center"/>
    </xf>
    <xf numFmtId="0" fontId="23" fillId="34" borderId="2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0" fontId="23" fillId="34" borderId="14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34" borderId="15" xfId="0" applyFont="1" applyFill="1" applyBorder="1" applyAlignment="1">
      <alignment horizontal="center" vertical="center"/>
    </xf>
    <xf numFmtId="0" fontId="23" fillId="34" borderId="16" xfId="0" applyFont="1" applyFill="1" applyBorder="1" applyAlignment="1">
      <alignment horizontal="center" vertical="center"/>
    </xf>
    <xf numFmtId="0" fontId="23" fillId="34" borderId="17" xfId="0" applyFont="1" applyFill="1" applyBorder="1" applyAlignment="1">
      <alignment horizontal="center" vertical="center"/>
    </xf>
    <xf numFmtId="0" fontId="23" fillId="34" borderId="18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320041</xdr:colOff>
      <xdr:row>2</xdr:row>
      <xdr:rowOff>45720</xdr:rowOff>
    </xdr:from>
    <xdr:to>
      <xdr:col>14</xdr:col>
      <xdr:colOff>24703</xdr:colOff>
      <xdr:row>7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9EF8D-42C3-4D8E-BF75-4FE92E0E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7561" y="830580"/>
          <a:ext cx="2143062" cy="1386840"/>
        </a:xfrm>
        <a:prstGeom prst="rect">
          <a:avLst/>
        </a:prstGeom>
      </xdr:spPr>
    </xdr:pic>
    <xdr:clientData/>
  </xdr:twoCellAnchor>
  <xdr:twoCellAnchor editAs="oneCell">
    <xdr:from>
      <xdr:col>10</xdr:col>
      <xdr:colOff>331471</xdr:colOff>
      <xdr:row>9</xdr:row>
      <xdr:rowOff>215265</xdr:rowOff>
    </xdr:from>
    <xdr:to>
      <xdr:col>14</xdr:col>
      <xdr:colOff>72391</xdr:colOff>
      <xdr:row>12</xdr:row>
      <xdr:rowOff>329195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27EAC2-0535-479E-928E-5FB009C8B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87" t="2955" b="2736"/>
        <a:stretch>
          <a:fillRect/>
        </a:stretch>
      </xdr:blipFill>
      <xdr:spPr>
        <a:xfrm>
          <a:off x="12485371" y="2586990"/>
          <a:ext cx="2179320" cy="1599830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14</xdr:row>
      <xdr:rowOff>68580</xdr:rowOff>
    </xdr:from>
    <xdr:to>
      <xdr:col>13</xdr:col>
      <xdr:colOff>259080</xdr:colOff>
      <xdr:row>18</xdr:row>
      <xdr:rowOff>146472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A12540-803B-45E4-8B19-8CD3C0A6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37820" y="4838700"/>
          <a:ext cx="1211580" cy="1266612"/>
        </a:xfrm>
        <a:prstGeom prst="rect">
          <a:avLst/>
        </a:prstGeom>
      </xdr:spPr>
    </xdr:pic>
    <xdr:clientData/>
  </xdr:twoCellAnchor>
  <xdr:twoCellAnchor>
    <xdr:from>
      <xdr:col>10</xdr:col>
      <xdr:colOff>99060</xdr:colOff>
      <xdr:row>14</xdr:row>
      <xdr:rowOff>259080</xdr:rowOff>
    </xdr:from>
    <xdr:to>
      <xdr:col>11</xdr:col>
      <xdr:colOff>236220</xdr:colOff>
      <xdr:row>15</xdr:row>
      <xdr:rowOff>274320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7F67DBB-371A-4DC8-B91C-98D20D5F0AC7}"/>
            </a:ext>
          </a:extLst>
        </xdr:cNvPr>
        <xdr:cNvSpPr txBox="1"/>
      </xdr:nvSpPr>
      <xdr:spPr>
        <a:xfrm>
          <a:off x="12260580" y="5029200"/>
          <a:ext cx="746760" cy="41148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50" b="1">
              <a:latin typeface="Times New Roman" panose="02020603050405020304" pitchFamily="18" charset="0"/>
              <a:cs typeface="Times New Roman" panose="02020603050405020304" pitchFamily="18" charset="0"/>
            </a:rPr>
            <a:t>Lane 15:</a:t>
          </a:r>
          <a:r>
            <a:rPr lang="en-IN" sz="10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050" baseline="0">
              <a:latin typeface="Times New Roman" panose="02020603050405020304" pitchFamily="18" charset="0"/>
              <a:cs typeface="Times New Roman" panose="02020603050405020304" pitchFamily="18" charset="0"/>
            </a:rPr>
            <a:t>No peak</a:t>
          </a:r>
          <a:endParaRPr lang="en-IN" sz="105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DE2B-88DA-4CB8-9719-25A36F1CAA7B}">
  <sheetPr>
    <pageSetUpPr fitToPage="1"/>
  </sheetPr>
  <dimension ref="A2:J23"/>
  <sheetViews>
    <sheetView tabSelected="1" zoomScale="60" zoomScaleNormal="60" workbookViewId="0">
      <selection activeCell="B49" sqref="B49"/>
    </sheetView>
  </sheetViews>
  <sheetFormatPr baseColWidth="10" defaultColWidth="8.83203125" defaultRowHeight="16" x14ac:dyDescent="0.2"/>
  <cols>
    <col min="1" max="1" width="8.83203125" style="1"/>
    <col min="2" max="2" width="51.1640625" style="1" customWidth="1"/>
    <col min="3" max="3" width="50.83203125" style="1" customWidth="1"/>
    <col min="4" max="7" width="14.1640625" style="1" customWidth="1"/>
    <col min="8" max="8" width="11.1640625" style="1" customWidth="1"/>
    <col min="9" max="9" width="15.6640625" style="1" bestFit="1" customWidth="1"/>
    <col min="10" max="10" width="6.5" style="1" customWidth="1"/>
    <col min="11" max="11" width="4.1640625" style="1" customWidth="1"/>
    <col min="12" max="16384" width="8.83203125" style="1"/>
  </cols>
  <sheetData>
    <row r="2" spans="1:10" ht="51" x14ac:dyDescent="0.2">
      <c r="A2" s="3" t="s">
        <v>1</v>
      </c>
      <c r="B2" s="13" t="s">
        <v>13</v>
      </c>
      <c r="C2" s="13" t="s">
        <v>14</v>
      </c>
      <c r="D2" s="13" t="s">
        <v>11</v>
      </c>
      <c r="E2" s="13" t="s">
        <v>29</v>
      </c>
      <c r="F2" s="13" t="s">
        <v>30</v>
      </c>
      <c r="G2" s="13" t="s">
        <v>31</v>
      </c>
      <c r="H2" s="13" t="s">
        <v>20</v>
      </c>
      <c r="I2" s="12" t="s">
        <v>5</v>
      </c>
      <c r="J2" s="2"/>
    </row>
    <row r="3" spans="1:10" ht="33" customHeight="1" x14ac:dyDescent="0.2">
      <c r="A3" s="4">
        <v>5816.0540000000001</v>
      </c>
      <c r="B3" s="16" t="s">
        <v>7</v>
      </c>
      <c r="C3" s="16" t="s">
        <v>7</v>
      </c>
      <c r="D3" s="16" t="s">
        <v>7</v>
      </c>
      <c r="E3" s="16"/>
      <c r="F3" s="16"/>
      <c r="G3" s="16"/>
      <c r="H3" s="16" t="s">
        <v>7</v>
      </c>
      <c r="I3" s="16">
        <v>100</v>
      </c>
      <c r="J3" s="2"/>
    </row>
    <row r="4" spans="1:10" ht="31.25" customHeight="1" x14ac:dyDescent="0.2">
      <c r="A4" s="4">
        <v>1581.69</v>
      </c>
      <c r="B4" s="21" t="s">
        <v>8</v>
      </c>
      <c r="C4" s="22" t="s">
        <v>24</v>
      </c>
      <c r="D4" s="16">
        <v>6000000</v>
      </c>
      <c r="E4" s="16">
        <f>ROUND(LOG10(D4),3)</f>
        <v>6.7779999999999996</v>
      </c>
      <c r="F4" s="16">
        <f>LEN(B4)</f>
        <v>20</v>
      </c>
      <c r="G4" s="16">
        <f>LEN(C4)</f>
        <v>30</v>
      </c>
      <c r="H4" s="16">
        <v>30</v>
      </c>
      <c r="I4" s="17">
        <f>(A4/A3)*100</f>
        <v>27.195242685160764</v>
      </c>
      <c r="J4" s="2"/>
    </row>
    <row r="5" spans="1:10" ht="35.5" customHeight="1" x14ac:dyDescent="0.2">
      <c r="A5" s="4">
        <v>2827.9949999999999</v>
      </c>
      <c r="B5" s="22" t="s">
        <v>25</v>
      </c>
      <c r="C5" s="21" t="s">
        <v>23</v>
      </c>
      <c r="D5" s="16">
        <v>6000000</v>
      </c>
      <c r="E5" s="16">
        <f t="shared" ref="E5:E8" si="0">ROUND(LOG10(D5),3)</f>
        <v>6.7779999999999996</v>
      </c>
      <c r="F5" s="16">
        <f t="shared" ref="F5:F22" si="1">LEN(B5)</f>
        <v>25</v>
      </c>
      <c r="G5" s="16">
        <f t="shared" ref="G5:G22" si="2">LEN(C5)</f>
        <v>35</v>
      </c>
      <c r="H5" s="16">
        <v>30</v>
      </c>
      <c r="I5" s="17">
        <f>(A5/A3)*100</f>
        <v>48.623946751526034</v>
      </c>
      <c r="J5" s="2"/>
    </row>
    <row r="6" spans="1:10" ht="32.5" customHeight="1" x14ac:dyDescent="0.2">
      <c r="A6" s="4">
        <v>2444.924</v>
      </c>
      <c r="B6" s="21" t="s">
        <v>26</v>
      </c>
      <c r="C6" s="21" t="s">
        <v>12</v>
      </c>
      <c r="D6" s="16">
        <v>6000000</v>
      </c>
      <c r="E6" s="16">
        <f t="shared" si="0"/>
        <v>6.7779999999999996</v>
      </c>
      <c r="F6" s="16">
        <f t="shared" si="1"/>
        <v>30</v>
      </c>
      <c r="G6" s="16">
        <f t="shared" si="2"/>
        <v>20</v>
      </c>
      <c r="H6" s="16">
        <v>30</v>
      </c>
      <c r="I6" s="17">
        <f>(A6/A3)*100</f>
        <v>42.037505153837976</v>
      </c>
      <c r="J6" s="2"/>
    </row>
    <row r="7" spans="1:10" ht="34.25" customHeight="1" x14ac:dyDescent="0.2">
      <c r="A7" s="4">
        <v>2918.7939999999999</v>
      </c>
      <c r="B7" s="21" t="s">
        <v>22</v>
      </c>
      <c r="C7" s="21" t="s">
        <v>12</v>
      </c>
      <c r="D7" s="16">
        <v>6000000</v>
      </c>
      <c r="E7" s="16">
        <f t="shared" si="0"/>
        <v>6.7779999999999996</v>
      </c>
      <c r="F7" s="16">
        <f t="shared" si="1"/>
        <v>35</v>
      </c>
      <c r="G7" s="16">
        <f t="shared" si="2"/>
        <v>20</v>
      </c>
      <c r="H7" s="16">
        <v>30</v>
      </c>
      <c r="I7" s="17">
        <f>(A7/A3)*100</f>
        <v>50.185125516372445</v>
      </c>
      <c r="J7" s="2"/>
    </row>
    <row r="8" spans="1:10" ht="36" customHeight="1" x14ac:dyDescent="0.2">
      <c r="A8" s="4">
        <v>864.03300000000002</v>
      </c>
      <c r="B8" s="21" t="s">
        <v>22</v>
      </c>
      <c r="C8" s="21" t="s">
        <v>23</v>
      </c>
      <c r="D8" s="16">
        <v>6000000</v>
      </c>
      <c r="E8" s="16">
        <f t="shared" si="0"/>
        <v>6.7779999999999996</v>
      </c>
      <c r="F8" s="16">
        <f t="shared" si="1"/>
        <v>35</v>
      </c>
      <c r="G8" s="16">
        <f t="shared" si="2"/>
        <v>35</v>
      </c>
      <c r="H8" s="16">
        <v>30</v>
      </c>
      <c r="I8" s="17">
        <f>(A8/A3)*100</f>
        <v>14.856000305361677</v>
      </c>
      <c r="J8" s="2"/>
    </row>
    <row r="9" spans="1:10" x14ac:dyDescent="0.2">
      <c r="A9" s="20"/>
      <c r="B9" s="20"/>
      <c r="C9" s="20"/>
      <c r="D9" s="20"/>
      <c r="E9" s="16"/>
      <c r="F9" s="16"/>
      <c r="G9" s="16"/>
      <c r="H9" s="20"/>
      <c r="I9" s="20"/>
      <c r="J9" s="2"/>
    </row>
    <row r="10" spans="1:10" ht="34.75" customHeight="1" x14ac:dyDescent="0.2">
      <c r="A10" s="4">
        <v>3831.6689999999999</v>
      </c>
      <c r="B10" s="16" t="s">
        <v>7</v>
      </c>
      <c r="C10" s="16" t="s">
        <v>7</v>
      </c>
      <c r="D10" s="16" t="s">
        <v>7</v>
      </c>
      <c r="E10" s="16"/>
      <c r="F10" s="16"/>
      <c r="G10" s="16"/>
      <c r="H10" s="16" t="s">
        <v>7</v>
      </c>
      <c r="I10" s="16">
        <v>100</v>
      </c>
      <c r="J10" s="2"/>
    </row>
    <row r="11" spans="1:10" ht="37.75" customHeight="1" x14ac:dyDescent="0.2">
      <c r="A11" s="4">
        <v>1326.175</v>
      </c>
      <c r="B11" s="21" t="s">
        <v>8</v>
      </c>
      <c r="C11" s="21" t="s">
        <v>12</v>
      </c>
      <c r="D11" s="16">
        <v>6000000</v>
      </c>
      <c r="E11" s="16">
        <f>ROUND(LOG10(D11),3)</f>
        <v>6.7779999999999996</v>
      </c>
      <c r="F11" s="16">
        <f t="shared" si="1"/>
        <v>20</v>
      </c>
      <c r="G11" s="16">
        <f t="shared" si="2"/>
        <v>20</v>
      </c>
      <c r="H11" s="16">
        <v>60</v>
      </c>
      <c r="I11" s="17">
        <f>(A11/A10)*100</f>
        <v>34.610896713677512</v>
      </c>
      <c r="J11" s="2"/>
    </row>
    <row r="12" spans="1:10" ht="35.5" customHeight="1" x14ac:dyDescent="0.2">
      <c r="A12" s="4">
        <v>2022.8320000000001</v>
      </c>
      <c r="B12" s="21" t="s">
        <v>8</v>
      </c>
      <c r="C12" s="21" t="s">
        <v>27</v>
      </c>
      <c r="D12" s="16">
        <v>6000000</v>
      </c>
      <c r="E12" s="16">
        <f t="shared" ref="E12:E22" si="3">ROUND(LOG10(D12),3)</f>
        <v>6.7779999999999996</v>
      </c>
      <c r="F12" s="16">
        <f t="shared" si="1"/>
        <v>20</v>
      </c>
      <c r="G12" s="16">
        <f t="shared" si="2"/>
        <v>28</v>
      </c>
      <c r="H12" s="16">
        <v>60</v>
      </c>
      <c r="I12" s="17">
        <f>(A12/A10)*100</f>
        <v>52.792451540046912</v>
      </c>
      <c r="J12" s="2"/>
    </row>
    <row r="13" spans="1:10" ht="32.5" customHeight="1" x14ac:dyDescent="0.2">
      <c r="A13" s="4">
        <v>3582.288</v>
      </c>
      <c r="B13" s="21" t="s">
        <v>8</v>
      </c>
      <c r="C13" s="22" t="s">
        <v>24</v>
      </c>
      <c r="D13" s="16">
        <v>6000000</v>
      </c>
      <c r="E13" s="16">
        <f t="shared" si="3"/>
        <v>6.7779999999999996</v>
      </c>
      <c r="F13" s="16">
        <f t="shared" si="1"/>
        <v>20</v>
      </c>
      <c r="G13" s="16">
        <f t="shared" si="2"/>
        <v>30</v>
      </c>
      <c r="H13" s="16">
        <v>60</v>
      </c>
      <c r="I13" s="17">
        <f>(A13/A10)*100</f>
        <v>93.49158291073681</v>
      </c>
      <c r="J13" s="2"/>
    </row>
    <row r="14" spans="1:10" ht="36" customHeight="1" x14ac:dyDescent="0.2">
      <c r="A14" s="4">
        <v>783.81100000000004</v>
      </c>
      <c r="B14" s="21" t="s">
        <v>8</v>
      </c>
      <c r="C14" s="21" t="s">
        <v>23</v>
      </c>
      <c r="D14" s="16">
        <v>6000000</v>
      </c>
      <c r="E14" s="16">
        <f t="shared" si="3"/>
        <v>6.7779999999999996</v>
      </c>
      <c r="F14" s="16">
        <f t="shared" si="1"/>
        <v>20</v>
      </c>
      <c r="G14" s="16">
        <f t="shared" si="2"/>
        <v>35</v>
      </c>
      <c r="H14" s="16">
        <v>60</v>
      </c>
      <c r="I14" s="17">
        <f>(A14/A10)*100</f>
        <v>20.456124994095266</v>
      </c>
      <c r="J14" s="2"/>
    </row>
    <row r="15" spans="1:10" ht="38.5" customHeight="1" x14ac:dyDescent="0.2">
      <c r="A15" s="4">
        <v>1169.953</v>
      </c>
      <c r="B15" s="22" t="s">
        <v>25</v>
      </c>
      <c r="C15" s="21" t="s">
        <v>27</v>
      </c>
      <c r="D15" s="16">
        <v>6000000</v>
      </c>
      <c r="E15" s="16">
        <f t="shared" si="3"/>
        <v>6.7779999999999996</v>
      </c>
      <c r="F15" s="16">
        <f t="shared" si="1"/>
        <v>25</v>
      </c>
      <c r="G15" s="16">
        <f t="shared" si="2"/>
        <v>28</v>
      </c>
      <c r="H15" s="16">
        <v>60</v>
      </c>
      <c r="I15" s="17">
        <f>(A15/A10)*100</f>
        <v>30.533770009883419</v>
      </c>
      <c r="J15" s="2"/>
    </row>
    <row r="16" spans="1:10" ht="39" customHeight="1" x14ac:dyDescent="0.2">
      <c r="A16" s="4">
        <v>1961.175</v>
      </c>
      <c r="B16" s="21" t="s">
        <v>25</v>
      </c>
      <c r="C16" s="22" t="s">
        <v>24</v>
      </c>
      <c r="D16" s="16">
        <v>6000000</v>
      </c>
      <c r="E16" s="16">
        <f t="shared" si="3"/>
        <v>6.7779999999999996</v>
      </c>
      <c r="F16" s="16">
        <f t="shared" si="1"/>
        <v>25</v>
      </c>
      <c r="G16" s="16">
        <f t="shared" si="2"/>
        <v>30</v>
      </c>
      <c r="H16" s="16">
        <v>60</v>
      </c>
      <c r="I16" s="17">
        <f>(A16/A10)*100</f>
        <v>51.183309414252641</v>
      </c>
      <c r="J16" s="2"/>
    </row>
    <row r="17" spans="1:10" ht="34.75" customHeight="1" x14ac:dyDescent="0.2">
      <c r="A17" s="4">
        <v>1724.7819999999999</v>
      </c>
      <c r="B17" s="21" t="s">
        <v>25</v>
      </c>
      <c r="C17" s="21" t="s">
        <v>23</v>
      </c>
      <c r="D17" s="16">
        <v>6000000</v>
      </c>
      <c r="E17" s="16">
        <f t="shared" si="3"/>
        <v>6.7779999999999996</v>
      </c>
      <c r="F17" s="16">
        <f t="shared" si="1"/>
        <v>25</v>
      </c>
      <c r="G17" s="16">
        <f t="shared" si="2"/>
        <v>35</v>
      </c>
      <c r="H17" s="16">
        <v>60</v>
      </c>
      <c r="I17" s="17">
        <f>(A17/A10)*100</f>
        <v>45.013856885863575</v>
      </c>
      <c r="J17" s="2"/>
    </row>
    <row r="18" spans="1:10" ht="35.5" customHeight="1" x14ac:dyDescent="0.2">
      <c r="A18" s="4">
        <v>3310.924</v>
      </c>
      <c r="B18" s="22" t="s">
        <v>26</v>
      </c>
      <c r="C18" s="21" t="s">
        <v>12</v>
      </c>
      <c r="D18" s="16">
        <v>6000000</v>
      </c>
      <c r="E18" s="16">
        <f t="shared" si="3"/>
        <v>6.7779999999999996</v>
      </c>
      <c r="F18" s="16">
        <f t="shared" si="1"/>
        <v>30</v>
      </c>
      <c r="G18" s="16">
        <f t="shared" si="2"/>
        <v>20</v>
      </c>
      <c r="H18" s="16">
        <v>60</v>
      </c>
      <c r="I18" s="17">
        <f>(A18/A10)*100</f>
        <v>86.409447162581117</v>
      </c>
      <c r="J18" s="2"/>
    </row>
    <row r="19" spans="1:10" ht="37.25" customHeight="1" x14ac:dyDescent="0.2">
      <c r="A19" s="4">
        <v>1850.731</v>
      </c>
      <c r="B19" s="21" t="s">
        <v>22</v>
      </c>
      <c r="C19" s="21" t="s">
        <v>12</v>
      </c>
      <c r="D19" s="16">
        <v>6000000</v>
      </c>
      <c r="E19" s="16">
        <f t="shared" si="3"/>
        <v>6.7779999999999996</v>
      </c>
      <c r="F19" s="16">
        <f t="shared" si="1"/>
        <v>35</v>
      </c>
      <c r="G19" s="16">
        <f t="shared" si="2"/>
        <v>20</v>
      </c>
      <c r="H19" s="16">
        <v>60</v>
      </c>
      <c r="I19" s="17">
        <f>(A19/A10)*100</f>
        <v>48.300910125587571</v>
      </c>
      <c r="J19" s="2"/>
    </row>
    <row r="20" spans="1:10" ht="34.75" customHeight="1" x14ac:dyDescent="0.2">
      <c r="A20" s="4">
        <v>1241.4680000000001</v>
      </c>
      <c r="B20" s="21" t="s">
        <v>22</v>
      </c>
      <c r="C20" s="21" t="s">
        <v>27</v>
      </c>
      <c r="D20" s="16">
        <v>6000000</v>
      </c>
      <c r="E20" s="16">
        <f t="shared" si="3"/>
        <v>6.7779999999999996</v>
      </c>
      <c r="F20" s="16">
        <f t="shared" si="1"/>
        <v>35</v>
      </c>
      <c r="G20" s="16">
        <f t="shared" si="2"/>
        <v>28</v>
      </c>
      <c r="H20" s="16">
        <v>60</v>
      </c>
      <c r="I20" s="17">
        <f>(A20/A10)*100</f>
        <v>32.400189055996229</v>
      </c>
      <c r="J20" s="2"/>
    </row>
    <row r="21" spans="1:10" ht="34.75" customHeight="1" x14ac:dyDescent="0.2">
      <c r="A21" s="4">
        <v>1074.4469999999999</v>
      </c>
      <c r="B21" s="21" t="s">
        <v>22</v>
      </c>
      <c r="C21" s="22" t="s">
        <v>24</v>
      </c>
      <c r="D21" s="16">
        <v>6000000</v>
      </c>
      <c r="E21" s="16">
        <f t="shared" si="3"/>
        <v>6.7779999999999996</v>
      </c>
      <c r="F21" s="16">
        <f t="shared" si="1"/>
        <v>35</v>
      </c>
      <c r="G21" s="16">
        <f t="shared" si="2"/>
        <v>30</v>
      </c>
      <c r="H21" s="16">
        <v>60</v>
      </c>
      <c r="I21" s="17">
        <f>(A21/A10)*100</f>
        <v>28.041226943141485</v>
      </c>
      <c r="J21" s="2"/>
    </row>
    <row r="22" spans="1:10" ht="39" customHeight="1" x14ac:dyDescent="0.2">
      <c r="A22" s="4">
        <v>2766.8820000000001</v>
      </c>
      <c r="B22" s="21" t="s">
        <v>22</v>
      </c>
      <c r="C22" s="21" t="s">
        <v>23</v>
      </c>
      <c r="D22" s="16">
        <v>6000000</v>
      </c>
      <c r="E22" s="16">
        <f t="shared" si="3"/>
        <v>6.7779999999999996</v>
      </c>
      <c r="F22" s="16">
        <f t="shared" si="1"/>
        <v>35</v>
      </c>
      <c r="G22" s="16">
        <f t="shared" si="2"/>
        <v>35</v>
      </c>
      <c r="H22" s="16">
        <v>60</v>
      </c>
      <c r="I22" s="17">
        <f>(A22/A10)*100</f>
        <v>72.210882516208997</v>
      </c>
      <c r="J22" s="2"/>
    </row>
    <row r="23" spans="1:10" x14ac:dyDescent="0.2">
      <c r="A23" s="19"/>
      <c r="B23" s="19"/>
      <c r="C23" s="19"/>
      <c r="D23" s="19"/>
      <c r="E23" s="19"/>
      <c r="F23" s="19"/>
      <c r="G23" s="19"/>
      <c r="H23" s="19"/>
      <c r="I23" s="19"/>
    </row>
  </sheetData>
  <phoneticPr fontId="19"/>
  <pageMargins left="0.70866141732283472" right="0.70866141732283472" top="0.74803149606299213" bottom="0.74803149606299213" header="0.31496062992125984" footer="0.31496062992125984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8E4B-E6E8-415D-A73E-B14B08732A68}">
  <sheetPr>
    <pageSetUpPr fitToPage="1"/>
  </sheetPr>
  <dimension ref="A1:O19"/>
  <sheetViews>
    <sheetView topLeftCell="D1" zoomScale="72" workbookViewId="0">
      <selection activeCell="F11" sqref="F11:G16"/>
    </sheetView>
  </sheetViews>
  <sheetFormatPr baseColWidth="10" defaultColWidth="8.83203125" defaultRowHeight="15" x14ac:dyDescent="0.2"/>
  <cols>
    <col min="2" max="2" width="10.83203125" customWidth="1"/>
    <col min="4" max="4" width="18.6640625" customWidth="1"/>
    <col min="5" max="5" width="12" customWidth="1"/>
    <col min="6" max="6" width="54" customWidth="1"/>
    <col min="7" max="7" width="54.1640625" customWidth="1"/>
    <col min="8" max="8" width="19" customWidth="1"/>
    <col min="9" max="9" width="11.6640625" customWidth="1"/>
    <col min="10" max="10" width="15.33203125" customWidth="1"/>
  </cols>
  <sheetData>
    <row r="1" spans="1:15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5" customHeight="1" x14ac:dyDescent="0.2">
      <c r="A2" s="3" t="s">
        <v>0</v>
      </c>
      <c r="B2" s="3" t="s">
        <v>3</v>
      </c>
      <c r="C2" s="3" t="s">
        <v>1</v>
      </c>
      <c r="D2" s="12" t="s">
        <v>17</v>
      </c>
      <c r="E2" s="13" t="s">
        <v>9</v>
      </c>
      <c r="F2" s="13" t="s">
        <v>13</v>
      </c>
      <c r="G2" s="13" t="s">
        <v>15</v>
      </c>
      <c r="H2" s="13" t="s">
        <v>11</v>
      </c>
      <c r="I2" s="13" t="s">
        <v>20</v>
      </c>
      <c r="J2" s="12" t="s">
        <v>5</v>
      </c>
      <c r="K2" s="23" t="s">
        <v>2</v>
      </c>
      <c r="L2" s="23"/>
      <c r="M2" s="23"/>
      <c r="N2" s="23"/>
      <c r="O2" s="23"/>
    </row>
    <row r="3" spans="1:15" ht="30.5" customHeight="1" x14ac:dyDescent="0.2">
      <c r="A3" s="4">
        <v>1</v>
      </c>
      <c r="B3" s="4" t="s">
        <v>4</v>
      </c>
      <c r="C3" s="4">
        <v>7505.2669999999998</v>
      </c>
      <c r="D3" s="16" t="s">
        <v>7</v>
      </c>
      <c r="E3" s="16" t="s">
        <v>7</v>
      </c>
      <c r="F3" s="16" t="s">
        <v>7</v>
      </c>
      <c r="G3" s="16" t="s">
        <v>7</v>
      </c>
      <c r="H3" s="16" t="s">
        <v>7</v>
      </c>
      <c r="I3" s="16" t="s">
        <v>7</v>
      </c>
      <c r="J3" s="16">
        <v>100</v>
      </c>
      <c r="K3" s="24"/>
      <c r="L3" s="24"/>
      <c r="M3" s="24"/>
      <c r="N3" s="24"/>
      <c r="O3" s="24"/>
    </row>
    <row r="4" spans="1:15" ht="30.5" customHeight="1" x14ac:dyDescent="0.2">
      <c r="A4" s="4">
        <v>2</v>
      </c>
      <c r="B4" s="4">
        <v>16</v>
      </c>
      <c r="C4" s="4">
        <v>2729.3760000000002</v>
      </c>
      <c r="D4" s="18" t="s">
        <v>21</v>
      </c>
      <c r="E4" s="15" t="s">
        <v>10</v>
      </c>
      <c r="F4" s="21" t="s">
        <v>22</v>
      </c>
      <c r="G4" s="21" t="s">
        <v>23</v>
      </c>
      <c r="H4" s="16" t="s">
        <v>16</v>
      </c>
      <c r="I4" s="16">
        <v>30</v>
      </c>
      <c r="J4" s="17">
        <f>(C4/C3)*100</f>
        <v>36.366141271189953</v>
      </c>
      <c r="K4" s="24"/>
      <c r="L4" s="24"/>
      <c r="M4" s="24"/>
      <c r="N4" s="24"/>
      <c r="O4" s="24"/>
    </row>
    <row r="5" spans="1:15" ht="15.5" customHeight="1" x14ac:dyDescent="0.2">
      <c r="A5" s="28"/>
      <c r="B5" s="29"/>
      <c r="C5" s="29"/>
      <c r="D5" s="29"/>
      <c r="E5" s="29"/>
      <c r="F5" s="29"/>
      <c r="G5" s="29"/>
      <c r="H5" s="29"/>
      <c r="I5" s="29"/>
      <c r="J5" s="30"/>
      <c r="K5" s="24"/>
      <c r="L5" s="24"/>
      <c r="M5" s="24"/>
      <c r="N5" s="24"/>
      <c r="O5" s="24"/>
    </row>
    <row r="6" spans="1:15" ht="15.5" customHeight="1" x14ac:dyDescent="0.2">
      <c r="A6" s="31"/>
      <c r="B6" s="32"/>
      <c r="C6" s="32"/>
      <c r="D6" s="32"/>
      <c r="E6" s="32"/>
      <c r="F6" s="32"/>
      <c r="G6" s="32"/>
      <c r="H6" s="32"/>
      <c r="I6" s="32"/>
      <c r="J6" s="33"/>
      <c r="K6" s="24"/>
      <c r="L6" s="24"/>
      <c r="M6" s="24"/>
      <c r="N6" s="24"/>
      <c r="O6" s="24"/>
    </row>
    <row r="7" spans="1:15" ht="19.25" customHeight="1" x14ac:dyDescent="0.2">
      <c r="A7" s="31"/>
      <c r="B7" s="32"/>
      <c r="C7" s="32"/>
      <c r="D7" s="32"/>
      <c r="E7" s="32"/>
      <c r="F7" s="32"/>
      <c r="G7" s="32"/>
      <c r="H7" s="32"/>
      <c r="I7" s="32"/>
      <c r="J7" s="33"/>
      <c r="K7" s="24"/>
      <c r="L7" s="24"/>
      <c r="M7" s="24"/>
      <c r="N7" s="24"/>
      <c r="O7" s="24"/>
    </row>
    <row r="8" spans="1:15" ht="15" customHeight="1" x14ac:dyDescent="0.2">
      <c r="A8" s="34"/>
      <c r="B8" s="35"/>
      <c r="C8" s="35"/>
      <c r="D8" s="35"/>
      <c r="E8" s="35"/>
      <c r="F8" s="35"/>
      <c r="G8" s="35"/>
      <c r="H8" s="35"/>
      <c r="I8" s="35"/>
      <c r="J8" s="36"/>
      <c r="K8" s="24"/>
      <c r="L8" s="24"/>
      <c r="M8" s="24"/>
      <c r="N8" s="24"/>
      <c r="O8" s="24"/>
    </row>
    <row r="9" spans="1:15" ht="16" x14ac:dyDescent="0.2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</row>
    <row r="10" spans="1:15" ht="39" customHeight="1" x14ac:dyDescent="0.2">
      <c r="A10" s="4">
        <v>1</v>
      </c>
      <c r="B10" s="4" t="s">
        <v>4</v>
      </c>
      <c r="C10" s="4">
        <v>7548.0330000000004</v>
      </c>
      <c r="D10" s="16" t="s">
        <v>7</v>
      </c>
      <c r="E10" s="16" t="s">
        <v>7</v>
      </c>
      <c r="F10" s="16" t="s">
        <v>7</v>
      </c>
      <c r="G10" s="16" t="s">
        <v>7</v>
      </c>
      <c r="H10" s="16" t="s">
        <v>7</v>
      </c>
      <c r="I10" s="16" t="s">
        <v>7</v>
      </c>
      <c r="J10" s="16">
        <v>100</v>
      </c>
      <c r="K10" s="6"/>
      <c r="L10" s="7"/>
      <c r="M10" s="7"/>
      <c r="N10" s="7"/>
      <c r="O10" s="8"/>
    </row>
    <row r="11" spans="1:15" ht="39" customHeight="1" x14ac:dyDescent="0.2">
      <c r="A11" s="4">
        <v>2</v>
      </c>
      <c r="B11" s="4">
        <v>3</v>
      </c>
      <c r="C11" s="4">
        <v>115.021</v>
      </c>
      <c r="D11" s="14" t="s">
        <v>18</v>
      </c>
      <c r="E11" s="15" t="s">
        <v>10</v>
      </c>
      <c r="F11" s="21" t="s">
        <v>8</v>
      </c>
      <c r="G11" s="22" t="s">
        <v>24</v>
      </c>
      <c r="H11" s="16" t="s">
        <v>16</v>
      </c>
      <c r="I11" s="16">
        <v>60</v>
      </c>
      <c r="J11" s="17">
        <f>(C11/C10)*100</f>
        <v>1.5238539630126153</v>
      </c>
      <c r="K11" s="9"/>
      <c r="L11" s="10"/>
      <c r="M11" s="10"/>
      <c r="N11" s="10"/>
      <c r="O11" s="11"/>
    </row>
    <row r="12" spans="1:15" ht="39" customHeight="1" x14ac:dyDescent="0.2">
      <c r="A12" s="4">
        <v>3</v>
      </c>
      <c r="B12" s="4">
        <v>4</v>
      </c>
      <c r="C12" s="4">
        <v>1153.2550000000001</v>
      </c>
      <c r="D12" s="14" t="s">
        <v>19</v>
      </c>
      <c r="E12" s="15" t="s">
        <v>10</v>
      </c>
      <c r="F12" s="21" t="s">
        <v>8</v>
      </c>
      <c r="G12" s="21" t="s">
        <v>23</v>
      </c>
      <c r="H12" s="16" t="s">
        <v>16</v>
      </c>
      <c r="I12" s="16">
        <v>60</v>
      </c>
      <c r="J12" s="17">
        <f>(C12/C10)*100</f>
        <v>15.278881266152389</v>
      </c>
      <c r="K12" s="9"/>
      <c r="L12" s="10"/>
      <c r="M12" s="10"/>
      <c r="N12" s="10"/>
      <c r="O12" s="11"/>
    </row>
    <row r="13" spans="1:15" ht="36" customHeight="1" x14ac:dyDescent="0.2">
      <c r="A13" s="4">
        <v>4</v>
      </c>
      <c r="B13" s="4">
        <v>8</v>
      </c>
      <c r="C13" s="4">
        <v>137.84899999999999</v>
      </c>
      <c r="D13" s="14" t="s">
        <v>19</v>
      </c>
      <c r="E13" s="15" t="s">
        <v>10</v>
      </c>
      <c r="F13" s="22" t="s">
        <v>25</v>
      </c>
      <c r="G13" s="21" t="s">
        <v>23</v>
      </c>
      <c r="H13" s="16" t="s">
        <v>16</v>
      </c>
      <c r="I13" s="16">
        <v>60</v>
      </c>
      <c r="J13" s="17">
        <f>(C13/C10)*100</f>
        <v>1.8262903726043591</v>
      </c>
      <c r="K13" s="9"/>
      <c r="L13" s="10"/>
      <c r="M13" s="10"/>
      <c r="N13" s="10"/>
      <c r="O13" s="11"/>
    </row>
    <row r="14" spans="1:15" ht="37.25" customHeight="1" x14ac:dyDescent="0.2">
      <c r="A14" s="4">
        <v>5</v>
      </c>
      <c r="B14" s="4">
        <v>11</v>
      </c>
      <c r="C14" s="4">
        <v>693.06200000000001</v>
      </c>
      <c r="D14" s="14" t="s">
        <v>19</v>
      </c>
      <c r="E14" s="15" t="s">
        <v>10</v>
      </c>
      <c r="F14" s="21" t="s">
        <v>26</v>
      </c>
      <c r="G14" s="22" t="s">
        <v>24</v>
      </c>
      <c r="H14" s="16" t="s">
        <v>16</v>
      </c>
      <c r="I14" s="16">
        <v>60</v>
      </c>
      <c r="J14" s="17">
        <f>(C14/C10)*100</f>
        <v>9.1820213292655186</v>
      </c>
      <c r="K14" s="9"/>
      <c r="L14" s="10"/>
      <c r="M14" s="10"/>
      <c r="N14" s="10"/>
      <c r="O14" s="11"/>
    </row>
    <row r="15" spans="1:15" ht="34" x14ac:dyDescent="0.2">
      <c r="A15" s="4">
        <v>6</v>
      </c>
      <c r="B15" s="4">
        <v>15</v>
      </c>
      <c r="C15" s="5" t="s">
        <v>6</v>
      </c>
      <c r="D15" s="14" t="s">
        <v>19</v>
      </c>
      <c r="E15" s="15" t="s">
        <v>10</v>
      </c>
      <c r="F15" s="21" t="s">
        <v>22</v>
      </c>
      <c r="G15" s="21" t="s">
        <v>24</v>
      </c>
      <c r="H15" s="16" t="s">
        <v>16</v>
      </c>
      <c r="I15" s="16">
        <v>60</v>
      </c>
      <c r="J15" s="17" t="s">
        <v>7</v>
      </c>
      <c r="K15" s="24"/>
      <c r="L15" s="24"/>
      <c r="M15" s="24"/>
      <c r="N15" s="24"/>
      <c r="O15" s="24"/>
    </row>
    <row r="16" spans="1:15" ht="34" x14ac:dyDescent="0.2">
      <c r="A16" s="4">
        <v>7</v>
      </c>
      <c r="B16" s="4">
        <v>16</v>
      </c>
      <c r="C16" s="4">
        <v>986.447</v>
      </c>
      <c r="D16" s="14" t="s">
        <v>19</v>
      </c>
      <c r="E16" s="15" t="s">
        <v>10</v>
      </c>
      <c r="F16" s="21" t="s">
        <v>22</v>
      </c>
      <c r="G16" s="21" t="s">
        <v>23</v>
      </c>
      <c r="H16" s="16" t="s">
        <v>16</v>
      </c>
      <c r="I16" s="16">
        <v>60</v>
      </c>
      <c r="J16" s="17">
        <f>(C16/C10)*100</f>
        <v>13.068928024029573</v>
      </c>
      <c r="K16" s="24"/>
      <c r="L16" s="24"/>
      <c r="M16" s="24"/>
      <c r="N16" s="24"/>
      <c r="O16" s="24"/>
    </row>
    <row r="17" spans="1:15" ht="15.5" customHeight="1" x14ac:dyDescent="0.2">
      <c r="A17" s="24" t="s">
        <v>28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5.5" customHeight="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15.5" customHeight="1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</sheetData>
  <mergeCells count="6">
    <mergeCell ref="K2:O2"/>
    <mergeCell ref="K3:O8"/>
    <mergeCell ref="A9:O9"/>
    <mergeCell ref="A17:J19"/>
    <mergeCell ref="A5:J8"/>
    <mergeCell ref="K15:O19"/>
  </mergeCells>
  <phoneticPr fontId="21" type="noConversion"/>
  <pageMargins left="0.25" right="0.25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6 × 10⁴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Uday Singh</cp:lastModifiedBy>
  <cp:lastPrinted>2026-04-28T06:22:24Z</cp:lastPrinted>
  <dcterms:created xsi:type="dcterms:W3CDTF">2026-04-12T07:21:30Z</dcterms:created>
  <dcterms:modified xsi:type="dcterms:W3CDTF">2026-07-02T16:23:59Z</dcterms:modified>
</cp:coreProperties>
</file>